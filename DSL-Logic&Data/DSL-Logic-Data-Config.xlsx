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avellMa\QA\DSL-ForGitHub\QA-Testing-Tools\DSL-Logic&amp;Data\"/>
    </mc:Choice>
  </mc:AlternateContent>
  <xr:revisionPtr revIDLastSave="0" documentId="13_ncr:1_{09F338E3-0DBB-4584-A891-4CBD37ADACDB}" xr6:coauthVersionLast="47" xr6:coauthVersionMax="47" xr10:uidLastSave="{00000000-0000-0000-0000-000000000000}"/>
  <bookViews>
    <workbookView xWindow="63630" yWindow="2250" windowWidth="18330" windowHeight="12105" xr2:uid="{704F0CCC-B421-4036-AA8C-800354C96C55}"/>
  </bookViews>
  <sheets>
    <sheet name="TestLogic" sheetId="1" r:id="rId1"/>
    <sheet name="old" sheetId="4" r:id="rId2"/>
    <sheet name="Matt" sheetId="5" r:id="rId3"/>
    <sheet name="Config" sheetId="2" r:id="rId4"/>
    <sheet name="Data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</calcChain>
</file>

<file path=xl/sharedStrings.xml><?xml version="1.0" encoding="utf-8"?>
<sst xmlns="http://schemas.openxmlformats.org/spreadsheetml/2006/main" count="263" uniqueCount="123">
  <si>
    <t>ExecStep#1</t>
  </si>
  <si>
    <t>ExecStep#2</t>
  </si>
  <si>
    <t>ExecStep#3</t>
  </si>
  <si>
    <t>ExecStep#4</t>
  </si>
  <si>
    <t>ExecStep#5</t>
  </si>
  <si>
    <t>ExecStep#6</t>
  </si>
  <si>
    <t>ExecStep#7</t>
  </si>
  <si>
    <t>ExecStep#8</t>
  </si>
  <si>
    <t>ExecStep#9</t>
  </si>
  <si>
    <t>ExecStep#10</t>
  </si>
  <si>
    <t>ExecStep#11</t>
  </si>
  <si>
    <t>ExecStep#12</t>
  </si>
  <si>
    <t>ExecStep#13</t>
  </si>
  <si>
    <t>ExecStep#14</t>
  </si>
  <si>
    <t>URL#1</t>
  </si>
  <si>
    <t>URL#2</t>
  </si>
  <si>
    <t>https://qa.direct.health.gov.on.ca/login</t>
  </si>
  <si>
    <t>https://qa.direct.health.gov.on.ca/submissions</t>
  </si>
  <si>
    <t>External/Internal</t>
  </si>
  <si>
    <t>Auto login</t>
  </si>
  <si>
    <t>Internal</t>
  </si>
  <si>
    <t>y</t>
  </si>
  <si>
    <t>click=#btnOrganization;</t>
  </si>
  <si>
    <t>click=#btnOrganization;click=#btnOrganization;</t>
  </si>
  <si>
    <t>End</t>
  </si>
  <si>
    <t>end</t>
  </si>
  <si>
    <t>click=#btnCreateSubmission;</t>
  </si>
  <si>
    <t>click=#menuMaintenance;click=#btnOrganization;</t>
  </si>
  <si>
    <t>type=#searchInput~hello;</t>
  </si>
  <si>
    <t>click=#searchInput;wait=5000;input= world;</t>
  </si>
  <si>
    <t>navigate=https://qa.direct.health.gov.on.ca/maintenance/list/product;</t>
  </si>
  <si>
    <t>click=#btnEdit0;</t>
  </si>
  <si>
    <t>click=#notes;</t>
  </si>
  <si>
    <t>click=#mat-tab-group-0-label-1;</t>
  </si>
  <si>
    <t>name=firstTest;</t>
  </si>
  <si>
    <t>name=dataInputTest;</t>
  </si>
  <si>
    <t>Names</t>
  </si>
  <si>
    <t>Michael</t>
  </si>
  <si>
    <t>Category Type</t>
  </si>
  <si>
    <t>Product Submission</t>
  </si>
  <si>
    <t>type=#searchInput~pass+Names*Michael;</t>
  </si>
  <si>
    <t>Title</t>
  </si>
  <si>
    <t xml:space="preserve"> Advanced Search </t>
  </si>
  <si>
    <t>assert=#searchButton~pass+Title* Advanced Search ;</t>
  </si>
  <si>
    <t>input=pass+Names*Michael;</t>
  </si>
  <si>
    <t>IsVisible=#btnAdvancedSearch;</t>
  </si>
  <si>
    <t>towlette</t>
  </si>
  <si>
    <t>fibro</t>
  </si>
  <si>
    <t>type=#searchInput~pass+towlette*fibro;</t>
  </si>
  <si>
    <t>myalgia</t>
  </si>
  <si>
    <t>input=pass+fibro*myalgia;</t>
  </si>
  <si>
    <t>sort</t>
  </si>
  <si>
    <t>name=globalPassTest;</t>
  </si>
  <si>
    <t>assert=#btnAdvancedSearch~pass+sort* Advanced Search ;</t>
  </si>
  <si>
    <t>type=#searchInput~fibro;</t>
  </si>
  <si>
    <t>input=myalgia;</t>
  </si>
  <si>
    <t>assert=#btnAdvancedSearch~ Advanced Search ;</t>
  </si>
  <si>
    <t>name=globalLiteralTest;</t>
  </si>
  <si>
    <t>click=#btnCreateSubmission;wait=2000;</t>
  </si>
  <si>
    <t>select=#PRODUCT-SUBMISSION-TYPE-GROUP,FORM-GROUP,SUBMISSION-CATEGORY~option+REQUEST-CATEGORY-DRUG-SUBMISSION;</t>
  </si>
  <si>
    <t>name=External;screenshot=test_shot;</t>
  </si>
  <si>
    <t>TestCase</t>
  </si>
  <si>
    <t>Run</t>
  </si>
  <si>
    <t>Y</t>
  </si>
  <si>
    <t>N</t>
  </si>
  <si>
    <t>name=SubmissionTombstone;</t>
  </si>
  <si>
    <t>Submission Category</t>
  </si>
  <si>
    <t>Submission Type</t>
  </si>
  <si>
    <t>Product Type</t>
  </si>
  <si>
    <t>Generic Classification</t>
  </si>
  <si>
    <t>name=SubmissionDrugBiosimilarLineExt</t>
  </si>
  <si>
    <t>Drug Submissions</t>
  </si>
  <si>
    <t>Biosimilar Product</t>
  </si>
  <si>
    <t>Line Extension</t>
  </si>
  <si>
    <t>New Biosimilar</t>
  </si>
  <si>
    <t>name=SubmissionDrugBiosimilarNewBiosimilar</t>
  </si>
  <si>
    <t>select "Submission Category Column" then Select "Submission Type Column" then Select "Product Type Column"</t>
  </si>
  <si>
    <t>call="SubmissionTombstone"</t>
  </si>
  <si>
    <t>name=drugsubmission;</t>
  </si>
  <si>
    <t>call=drugsubmission;</t>
  </si>
  <si>
    <t>name=login;</t>
  </si>
  <si>
    <t>login=https://qa.direct.health.gov.on.ca/login;click=#btnLogin;</t>
  </si>
  <si>
    <t>select=#PRODUCT-SUBMISSION-TYPE-GROUP,FORM-GROUP,PRODUCT-TYPE~option+PRODUCT-BIOSIMILAR;</t>
  </si>
  <si>
    <t>select=#PRODUCT-SUBMISSION-TYPE-GROUP,FORM-GROUP,SUBMISSION-TYPE~option+SUB-BIOSIMILAR-LINE;</t>
  </si>
  <si>
    <t>TestCase#</t>
  </si>
  <si>
    <t>type=#searchInput~M;</t>
  </si>
  <si>
    <t>select=#PRODUCT-SUBMISSION-TYPE-GROUP,FORM-GROUP,SUBMISSION-CATEGORY~option+awdaw;</t>
  </si>
  <si>
    <t>name=Internal;screenshot=test_shot;</t>
  </si>
  <si>
    <t>name=loginTesting;</t>
  </si>
  <si>
    <t>login=https://qa.direct.health.gov.on.ca/login;click=#btnLogin;click=#btnCreateSubmission;</t>
  </si>
  <si>
    <t>name=passthroughBrowser;</t>
  </si>
  <si>
    <t>name=upload_test;</t>
  </si>
  <si>
    <t>login=https://qa.direct.health.gov.on.ca/login;click=#btnLogin;click=#btnCreateSubmission;wait=3000;</t>
  </si>
  <si>
    <t>click=#nextButton;click=#mat-tab-group-0-label-3;wait=5000;</t>
  </si>
  <si>
    <t>click=#addHEALTHCANADADOCUMENTATIONNAV,HEALTHCANADADOCUMENTATIONGROUP,NOCAPPROVALGROUP1;</t>
  </si>
  <si>
    <t>name=dropdown_selection;call=login;</t>
  </si>
  <si>
    <t>name=input-grab-dev;call=login;</t>
  </si>
  <si>
    <t>Product Sub</t>
  </si>
  <si>
    <t>type=#searchInput~grab+Category Type;</t>
  </si>
  <si>
    <t>mich</t>
  </si>
  <si>
    <t>name=grabTest;call=input-grab-dev;</t>
  </si>
  <si>
    <t>Drug Sub</t>
  </si>
  <si>
    <t>name=fcn-input-grabset-dev;call=login;</t>
  </si>
  <si>
    <t>OTC</t>
  </si>
  <si>
    <t>type=#searchInput~grabset+Category Type;</t>
  </si>
  <si>
    <t>name=grabSetTest;call=fcn-input-grabset-dev;</t>
  </si>
  <si>
    <t>name=assertGrab;call=login;</t>
  </si>
  <si>
    <t>Advanced Search</t>
  </si>
  <si>
    <t>assert=#searchButton~grab+Category Type;</t>
  </si>
  <si>
    <t>name=assertGrabTest;call=assertGrab;</t>
  </si>
  <si>
    <t>Search</t>
  </si>
  <si>
    <t>name=fcn-assertGrabset;call=login;</t>
  </si>
  <si>
    <t>assert=#searchButton~grabset+Category Type;</t>
  </si>
  <si>
    <t>name=assertGrabsetTest;call=fcn-assertGrabset;</t>
  </si>
  <si>
    <t>name=inputGrab;call=login;click=#searchInput;</t>
  </si>
  <si>
    <t>try this input</t>
  </si>
  <si>
    <t>input=grab+Category Type;</t>
  </si>
  <si>
    <t>name=inputGrabTest;call=inputGrab;</t>
  </si>
  <si>
    <t>try another input</t>
  </si>
  <si>
    <t>name=fcn-inputGrabset;call=login;click=#searchInput;</t>
  </si>
  <si>
    <t>constant inut</t>
  </si>
  <si>
    <t>input=grabset+Category Type;</t>
  </si>
  <si>
    <t>name=inputGrabsetTest;call=fcn-inputGrabset;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</si>
</sst>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0"/>
      <name val="Aptos Narrow"/>
      <family val="2"/>
      <scheme val="minor"/>
    </font>
    <font>
      <sz val="10"/>
      <color rgb="FFE3E3E3"/>
      <name val="Courier New"/>
      <family val="3"/>
    </font>
    <font>
      <sz val="4"/>
      <color rgb="FFE3E3E3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1"/>
    <xf numFmtId="0" fontId="3" fillId="0" borderId="0" xfId="1" applyFont="1"/>
    <xf numFmtId="0" fontId="0" fillId="0" borderId="0" xfId="0" applyAlignment="1">
      <alignment wrapText="1"/>
    </xf>
    <xf numFmtId="0" fontId="3" fillId="0" borderId="0" xfId="0" applyFont="1"/>
    <xf numFmtId="0" fontId="4" fillId="0" borderId="1" xfId="0" applyFont="1" applyBorder="1" applyAlignment="1" applyProtection="1">
      <alignment vertical="top" wrapText="1"/>
      <protection locked="0"/>
    </xf>
    <xf numFmtId="0" fontId="0" fillId="0" borderId="0" xfId="0" applyAlignment="1">
      <alignment vertical="top" wrapText="1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0" fillId="0" borderId="0" xfId="0" quotePrefix="1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qa.direct.health.gov.on.ca/submissions" TargetMode="External"/><Relationship Id="rId1" Type="http://schemas.openxmlformats.org/officeDocument/2006/relationships/hyperlink" Target="https://qa.direct.health.gov.on.ca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1821-E3DB-43E3-B3A2-14D13EBB97A4}">
  <sheetPr codeName="Sheet1"/>
  <dimension ref="A1:T23"/>
  <sheetViews>
    <sheetView tabSelected="1" zoomScale="70" zoomScaleNormal="70" workbookViewId="0">
      <selection activeCell="B5" sqref="B5"/>
    </sheetView>
  </sheetViews>
  <sheetFormatPr defaultColWidth="73.26171875" defaultRowHeight="14.4"/>
  <cols>
    <col min="1" max="1" width="37.83984375" bestFit="1" customWidth="1"/>
    <col min="2" max="2" width="57.83984375" bestFit="1" customWidth="1"/>
    <col min="3" max="3" width="60.26171875" bestFit="1" customWidth="1"/>
    <col min="4" max="4" width="45.05078125" bestFit="1" customWidth="1"/>
    <col min="5" max="5" width="47.1015625" bestFit="1" customWidth="1"/>
    <col min="6" max="6" width="25.83984375" customWidth="1"/>
    <col min="7" max="7" width="29.05078125" bestFit="1" customWidth="1"/>
    <col min="8" max="8" width="37.83984375" bestFit="1" customWidth="1"/>
    <col min="9" max="9" width="55.20703125" bestFit="1" customWidth="1"/>
    <col min="10" max="10" width="51.9453125" bestFit="1" customWidth="1"/>
    <col min="11" max="11" width="44.15625" bestFit="1" customWidth="1"/>
    <col min="12" max="12" width="25.578125" bestFit="1" customWidth="1"/>
    <col min="13" max="13" width="24.9453125" customWidth="1"/>
    <col min="14" max="15" width="24.89453125" bestFit="1" customWidth="1"/>
    <col min="16" max="16" width="19.26171875" bestFit="1" customWidth="1"/>
    <col min="17" max="19" width="13.1015625" bestFit="1" customWidth="1"/>
    <col min="20" max="20" width="9.83984375" bestFit="1" customWidth="1"/>
  </cols>
  <sheetData>
    <row r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/>
      <c r="P1" s="6"/>
      <c r="Q1" s="6"/>
      <c r="R1" s="6"/>
      <c r="S1" s="6"/>
      <c r="T1" s="6"/>
    </row>
    <row r="2" spans="1:2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10"/>
      <c r="N4" s="6"/>
      <c r="O4" s="6"/>
      <c r="P4" s="6"/>
      <c r="Q4" s="6"/>
      <c r="R4" s="6"/>
      <c r="S4" s="6"/>
      <c r="T4" s="6"/>
    </row>
    <row r="5" spans="1:20" ht="93.9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10"/>
      <c r="N5" s="6"/>
      <c r="O5" s="6"/>
      <c r="P5" s="6"/>
      <c r="Q5" s="6"/>
      <c r="R5" s="6"/>
      <c r="S5" s="6"/>
      <c r="T5" s="6"/>
    </row>
    <row r="6" spans="1:20" ht="93.9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10"/>
      <c r="N6" s="6"/>
      <c r="O6" s="6"/>
      <c r="P6" s="6"/>
      <c r="Q6" s="6"/>
      <c r="R6" s="6"/>
      <c r="S6" s="6"/>
      <c r="T6" s="6"/>
    </row>
    <row r="7" spans="1:20" ht="151.80000000000001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10"/>
      <c r="N7" s="6"/>
      <c r="O7" s="6"/>
      <c r="P7" s="6"/>
      <c r="Q7" s="6"/>
      <c r="R7" s="6"/>
      <c r="S7" s="6"/>
      <c r="T7" s="6"/>
    </row>
    <row r="8" spans="1:20" ht="151.80000000000001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10"/>
      <c r="N8" s="6"/>
      <c r="O8" s="6"/>
      <c r="P8" s="6"/>
      <c r="Q8" s="6"/>
      <c r="R8" s="6"/>
      <c r="S8" s="6"/>
      <c r="T8" s="6"/>
    </row>
    <row r="9" spans="1:20" ht="151.80000000000001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10"/>
      <c r="N9" s="6"/>
      <c r="O9" s="6"/>
      <c r="P9" s="6"/>
      <c r="Q9" s="6"/>
      <c r="R9" s="6"/>
      <c r="S9" s="6"/>
      <c r="T9" s="6"/>
    </row>
    <row r="10" spans="1:20" ht="151.80000000000001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10"/>
      <c r="N10" s="6"/>
      <c r="O10" s="6"/>
      <c r="P10" s="6"/>
      <c r="Q10" s="6"/>
      <c r="R10" s="6"/>
      <c r="S10" s="6"/>
      <c r="T10" s="6"/>
    </row>
    <row r="11" spans="1:20" ht="151.80000000000001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10"/>
      <c r="N11" s="6"/>
      <c r="O11" s="6"/>
      <c r="P11" s="6"/>
      <c r="Q11" s="6"/>
      <c r="R11" s="6"/>
      <c r="S11" s="6"/>
      <c r="T11" s="6"/>
    </row>
    <row r="12" spans="1:20" ht="151.80000000000001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10"/>
      <c r="N12" s="6"/>
      <c r="O12" s="6"/>
      <c r="P12" s="6"/>
      <c r="Q12" s="6"/>
      <c r="R12" s="6"/>
      <c r="S12" s="6"/>
      <c r="T12" s="6"/>
    </row>
    <row r="13" spans="1:20" ht="129.30000000000001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10"/>
      <c r="N13" s="6"/>
      <c r="O13" s="6"/>
      <c r="P13" s="6"/>
      <c r="Q13" s="6"/>
      <c r="R13" s="6"/>
      <c r="S13" s="6"/>
      <c r="T13" s="6"/>
    </row>
    <row r="14" spans="1:20" ht="151.80000000000001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10"/>
      <c r="N14" s="6"/>
      <c r="O14" s="6"/>
      <c r="P14" s="6"/>
      <c r="Q14" s="6"/>
      <c r="R14" s="6"/>
      <c r="S14" s="6"/>
      <c r="T14" s="6"/>
    </row>
    <row r="15" spans="1:20" ht="151.80000000000001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10"/>
      <c r="N15" s="6"/>
      <c r="O15" s="6"/>
      <c r="P15" s="6"/>
      <c r="Q15" s="6"/>
      <c r="R15" s="6"/>
      <c r="S15" s="6"/>
      <c r="T15" s="6"/>
    </row>
    <row r="16" spans="1:20" s="6" customFormat="1" ht="151.80000000000001" customHeight="1"/>
    <row r="17" spans="1:20" s="6" customFormat="1" ht="151.80000000000001" customHeight="1"/>
    <row r="18" spans="1:20" ht="48.3" customHeight="1">
      <c r="A18" s="6"/>
      <c r="B18" s="6"/>
      <c r="C18" s="6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10"/>
      <c r="Q18" s="6"/>
      <c r="R18" s="6"/>
      <c r="S18" s="6"/>
      <c r="T18" s="6"/>
    </row>
    <row r="19" spans="1:20" ht="41.4" customHeight="1">
      <c r="A19" s="6"/>
      <c r="B19" s="6"/>
      <c r="C19" s="6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10"/>
      <c r="P19" s="6"/>
      <c r="Q19" s="6"/>
      <c r="R19" s="6"/>
      <c r="S19" s="6"/>
      <c r="T19" s="6"/>
    </row>
    <row r="20" spans="1: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O20" s="6"/>
      <c r="P20" s="10"/>
      <c r="Q20" s="6"/>
      <c r="R20" s="6"/>
      <c r="S20" s="6"/>
      <c r="T20" s="6"/>
    </row>
    <row r="21" spans="1:20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O21" s="6"/>
      <c r="P21" s="10"/>
      <c r="Q21" s="6"/>
      <c r="R21" s="6"/>
      <c r="S21" s="6"/>
      <c r="T21" s="6"/>
    </row>
    <row r="22" spans="1:20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>
      <c r="A23" s="6"/>
      <c r="C23" s="6"/>
      <c r="D23" s="11"/>
      <c r="I23" s="6"/>
      <c r="N23" s="6"/>
      <c r="O23" s="6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45ED-B4E3-4F4A-8D13-AFBBAB01B238}">
  <dimension ref="A1:Z16"/>
  <sheetViews>
    <sheetView topLeftCell="E1" workbookViewId="0">
      <selection activeCell="H23" sqref="H23"/>
    </sheetView>
  </sheetViews>
  <sheetFormatPr defaultColWidth="73.26171875" defaultRowHeight="14.4"/>
  <cols>
    <col min="1" max="2" width="12.41796875" customWidth="1"/>
    <col min="3" max="3" width="16.83984375" customWidth="1"/>
    <col min="4" max="4" width="21.41796875" customWidth="1"/>
    <col min="5" max="5" width="21.68359375" customWidth="1"/>
    <col min="6" max="6" width="16.578125" customWidth="1"/>
    <col min="7" max="7" width="21.68359375" customWidth="1"/>
    <col min="8" max="8" width="51.15625" customWidth="1"/>
    <col min="9" max="9" width="39.68359375" customWidth="1"/>
    <col min="10" max="10" width="43.15625" customWidth="1"/>
    <col min="11" max="11" width="40" customWidth="1"/>
    <col min="12" max="12" width="26.83984375" customWidth="1"/>
    <col min="13" max="13" width="33.83984375" bestFit="1" customWidth="1"/>
    <col min="14" max="14" width="23" customWidth="1"/>
    <col min="15" max="15" width="50" bestFit="1" customWidth="1"/>
    <col min="16" max="16" width="9.83984375" bestFit="1" customWidth="1"/>
    <col min="17" max="21" width="10.83984375" bestFit="1" customWidth="1"/>
    <col min="22" max="22" width="26.578125" customWidth="1"/>
    <col min="23" max="23" width="15.578125" customWidth="1"/>
    <col min="24" max="24" width="7.15625" bestFit="1" customWidth="1"/>
    <col min="25" max="25" width="7.26171875" bestFit="1" customWidth="1"/>
    <col min="26" max="26" width="15.578125" bestFit="1" customWidth="1"/>
  </cols>
  <sheetData>
    <row r="1" spans="1:26">
      <c r="A1" t="s">
        <v>61</v>
      </c>
      <c r="B1" t="s">
        <v>62</v>
      </c>
      <c r="C1" t="s">
        <v>38</v>
      </c>
      <c r="D1" t="s">
        <v>66</v>
      </c>
      <c r="E1" t="s">
        <v>67</v>
      </c>
      <c r="F1" t="s">
        <v>68</v>
      </c>
      <c r="G1" t="s">
        <v>69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36</v>
      </c>
      <c r="W1" t="s">
        <v>41</v>
      </c>
      <c r="X1" t="s">
        <v>46</v>
      </c>
      <c r="Y1" t="s">
        <v>47</v>
      </c>
      <c r="Z1" t="s">
        <v>51</v>
      </c>
    </row>
    <row r="2" spans="1:26">
      <c r="A2">
        <v>11</v>
      </c>
      <c r="D2" t="s">
        <v>71</v>
      </c>
      <c r="E2" t="s">
        <v>72</v>
      </c>
      <c r="F2" t="s">
        <v>73</v>
      </c>
      <c r="H2" t="str">
        <f>"name=test case "&amp;A2 &amp;";"</f>
        <v>name=test case 11;</v>
      </c>
      <c r="I2" t="s">
        <v>79</v>
      </c>
      <c r="P2" t="s">
        <v>25</v>
      </c>
    </row>
    <row r="3" spans="1:26">
      <c r="A3">
        <v>12</v>
      </c>
      <c r="H3" t="s">
        <v>78</v>
      </c>
      <c r="I3" t="s">
        <v>26</v>
      </c>
      <c r="J3" t="s">
        <v>59</v>
      </c>
      <c r="P3" t="s">
        <v>25</v>
      </c>
    </row>
    <row r="4" spans="1:26">
      <c r="A4">
        <v>1</v>
      </c>
      <c r="B4" t="s">
        <v>63</v>
      </c>
      <c r="H4" t="s">
        <v>23</v>
      </c>
      <c r="I4" t="s">
        <v>22</v>
      </c>
      <c r="J4" t="s">
        <v>24</v>
      </c>
    </row>
    <row r="5" spans="1:26">
      <c r="A5">
        <v>2</v>
      </c>
      <c r="B5" t="s">
        <v>63</v>
      </c>
      <c r="C5" t="s">
        <v>39</v>
      </c>
      <c r="H5" t="s">
        <v>26</v>
      </c>
      <c r="I5" t="s">
        <v>59</v>
      </c>
      <c r="J5" t="s">
        <v>52</v>
      </c>
      <c r="K5" s="2" t="s">
        <v>30</v>
      </c>
      <c r="L5" t="s">
        <v>45</v>
      </c>
      <c r="M5" t="s">
        <v>48</v>
      </c>
      <c r="N5" t="s">
        <v>50</v>
      </c>
      <c r="O5" t="s">
        <v>53</v>
      </c>
      <c r="P5" t="s">
        <v>25</v>
      </c>
      <c r="X5" t="s">
        <v>47</v>
      </c>
      <c r="Y5" t="s">
        <v>49</v>
      </c>
      <c r="Z5" s="4" t="s">
        <v>42</v>
      </c>
    </row>
    <row r="6" spans="1:26">
      <c r="A6">
        <v>3</v>
      </c>
      <c r="B6" t="s">
        <v>64</v>
      </c>
      <c r="C6" t="s">
        <v>39</v>
      </c>
      <c r="H6" t="s">
        <v>26</v>
      </c>
      <c r="I6" t="s">
        <v>59</v>
      </c>
      <c r="J6" t="s">
        <v>57</v>
      </c>
      <c r="K6" s="2" t="s">
        <v>30</v>
      </c>
      <c r="L6" t="s">
        <v>45</v>
      </c>
      <c r="M6" t="s">
        <v>54</v>
      </c>
      <c r="N6" t="s">
        <v>55</v>
      </c>
      <c r="O6" t="s">
        <v>56</v>
      </c>
      <c r="P6" t="s">
        <v>25</v>
      </c>
      <c r="X6" t="s">
        <v>47</v>
      </c>
      <c r="Y6" t="s">
        <v>49</v>
      </c>
      <c r="Z6" s="4" t="s">
        <v>42</v>
      </c>
    </row>
    <row r="7" spans="1:26">
      <c r="A7">
        <v>4</v>
      </c>
      <c r="B7" t="s">
        <v>64</v>
      </c>
      <c r="H7" t="s">
        <v>27</v>
      </c>
      <c r="I7" t="s">
        <v>28</v>
      </c>
      <c r="J7" t="s">
        <v>29</v>
      </c>
      <c r="K7" s="2" t="s">
        <v>30</v>
      </c>
    </row>
    <row r="8" spans="1:26">
      <c r="A8">
        <v>5</v>
      </c>
      <c r="B8" t="s">
        <v>63</v>
      </c>
      <c r="C8" s="2"/>
      <c r="D8" s="2"/>
      <c r="E8" s="2"/>
      <c r="F8" s="2"/>
      <c r="G8" s="2"/>
      <c r="H8" s="2" t="s">
        <v>31</v>
      </c>
      <c r="I8" t="s">
        <v>33</v>
      </c>
      <c r="J8" t="s">
        <v>32</v>
      </c>
      <c r="K8" t="s">
        <v>34</v>
      </c>
      <c r="L8" t="s">
        <v>25</v>
      </c>
    </row>
    <row r="9" spans="1:26">
      <c r="A9">
        <v>6</v>
      </c>
      <c r="H9" t="s">
        <v>35</v>
      </c>
      <c r="I9" t="s">
        <v>40</v>
      </c>
      <c r="J9" t="s">
        <v>44</v>
      </c>
      <c r="K9" t="s">
        <v>43</v>
      </c>
      <c r="L9" t="s">
        <v>25</v>
      </c>
      <c r="V9" s="3" t="s">
        <v>37</v>
      </c>
      <c r="W9" t="s">
        <v>42</v>
      </c>
    </row>
    <row r="11" spans="1:26">
      <c r="A11">
        <v>7</v>
      </c>
      <c r="H11" t="s">
        <v>58</v>
      </c>
      <c r="I11" t="s">
        <v>59</v>
      </c>
      <c r="J11" t="s">
        <v>60</v>
      </c>
      <c r="K11" t="s">
        <v>25</v>
      </c>
    </row>
    <row r="13" spans="1:26">
      <c r="A13">
        <v>8</v>
      </c>
      <c r="H13" t="s">
        <v>65</v>
      </c>
      <c r="I13" t="s">
        <v>76</v>
      </c>
      <c r="K13" t="s">
        <v>25</v>
      </c>
    </row>
    <row r="15" spans="1:26">
      <c r="A15">
        <v>9</v>
      </c>
      <c r="B15" t="s">
        <v>63</v>
      </c>
      <c r="D15" t="s">
        <v>71</v>
      </c>
      <c r="E15" t="s">
        <v>72</v>
      </c>
      <c r="F15" t="s">
        <v>73</v>
      </c>
      <c r="H15" t="s">
        <v>70</v>
      </c>
      <c r="I15" t="s">
        <v>77</v>
      </c>
      <c r="J15" t="s">
        <v>25</v>
      </c>
    </row>
    <row r="16" spans="1:26">
      <c r="A16">
        <v>10</v>
      </c>
      <c r="B16" t="s">
        <v>63</v>
      </c>
      <c r="D16" t="s">
        <v>71</v>
      </c>
      <c r="E16" t="s">
        <v>72</v>
      </c>
      <c r="F16" t="s">
        <v>74</v>
      </c>
      <c r="H16" t="s">
        <v>75</v>
      </c>
      <c r="I16" t="s">
        <v>77</v>
      </c>
      <c r="J1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FC4A-E600-4A31-9133-76E0E04AAD1C}">
  <dimension ref="A1:U40"/>
  <sheetViews>
    <sheetView workbookViewId="0">
      <pane ySplit="1" topLeftCell="A14" activePane="bottomLeft" state="frozen"/>
      <selection pane="bottomLeft" activeCell="A15" sqref="A15"/>
    </sheetView>
  </sheetViews>
  <sheetFormatPr defaultColWidth="73.26171875" defaultRowHeight="14.4"/>
  <cols>
    <col min="1" max="1" width="9.83984375" customWidth="1"/>
    <col min="2" max="2" width="42.68359375" customWidth="1"/>
    <col min="3" max="3" width="17.41796875" bestFit="1" customWidth="1"/>
    <col min="4" max="4" width="119.26171875" bestFit="1" customWidth="1"/>
    <col min="5" max="5" width="7.3125" bestFit="1" customWidth="1"/>
    <col min="6" max="6" width="108.9453125" customWidth="1"/>
    <col min="7" max="7" width="15.578125" customWidth="1"/>
    <col min="8" max="8" width="87.1015625" customWidth="1"/>
    <col min="9" max="9" width="88.83984375" customWidth="1"/>
    <col min="10" max="10" width="7.15625" bestFit="1" customWidth="1"/>
    <col min="11" max="11" width="48.41796875" customWidth="1"/>
    <col min="12" max="12" width="7.3125" bestFit="1" customWidth="1"/>
    <col min="13" max="13" width="130.7890625" customWidth="1"/>
    <col min="14" max="14" width="15.578125" bestFit="1" customWidth="1"/>
    <col min="15" max="15" width="49.9453125" bestFit="1" customWidth="1"/>
    <col min="16" max="16" width="9.83984375" bestFit="1" customWidth="1"/>
    <col min="17" max="21" width="10.83984375" bestFit="1" customWidth="1"/>
  </cols>
  <sheetData>
    <row r="1" spans="1:21">
      <c r="A1" t="s">
        <v>84</v>
      </c>
      <c r="B1" t="s">
        <v>0</v>
      </c>
      <c r="C1" t="s">
        <v>38</v>
      </c>
      <c r="D1" t="s">
        <v>1</v>
      </c>
      <c r="E1" t="s">
        <v>36</v>
      </c>
      <c r="F1" t="s">
        <v>2</v>
      </c>
      <c r="G1" t="s">
        <v>41</v>
      </c>
      <c r="H1" t="s">
        <v>3</v>
      </c>
      <c r="I1" t="s">
        <v>4</v>
      </c>
      <c r="J1" t="s">
        <v>46</v>
      </c>
      <c r="K1" t="s">
        <v>5</v>
      </c>
      <c r="L1" t="s">
        <v>47</v>
      </c>
      <c r="M1" t="s">
        <v>6</v>
      </c>
      <c r="N1" t="s">
        <v>51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</row>
    <row r="2" spans="1:21">
      <c r="A2">
        <v>1</v>
      </c>
      <c r="B2" t="s">
        <v>23</v>
      </c>
      <c r="D2" t="s">
        <v>22</v>
      </c>
      <c r="F2" t="s">
        <v>24</v>
      </c>
    </row>
    <row r="3" spans="1:21">
      <c r="A3">
        <v>2</v>
      </c>
      <c r="B3" t="s">
        <v>26</v>
      </c>
      <c r="C3" t="s">
        <v>39</v>
      </c>
      <c r="D3" t="s">
        <v>59</v>
      </c>
      <c r="F3" t="s">
        <v>52</v>
      </c>
      <c r="H3" s="2" t="s">
        <v>30</v>
      </c>
      <c r="I3" t="s">
        <v>45</v>
      </c>
      <c r="J3" t="s">
        <v>47</v>
      </c>
      <c r="K3" t="s">
        <v>48</v>
      </c>
      <c r="L3" t="s">
        <v>49</v>
      </c>
      <c r="M3" t="s">
        <v>50</v>
      </c>
      <c r="N3" s="4" t="s">
        <v>42</v>
      </c>
      <c r="O3" t="s">
        <v>53</v>
      </c>
      <c r="P3" t="s">
        <v>25</v>
      </c>
    </row>
    <row r="4" spans="1:21">
      <c r="A4">
        <v>3</v>
      </c>
      <c r="B4" t="s">
        <v>26</v>
      </c>
      <c r="C4" t="s">
        <v>39</v>
      </c>
      <c r="D4" t="s">
        <v>59</v>
      </c>
      <c r="F4" t="s">
        <v>57</v>
      </c>
      <c r="H4" s="2" t="s">
        <v>30</v>
      </c>
      <c r="I4" t="s">
        <v>45</v>
      </c>
      <c r="J4" t="s">
        <v>47</v>
      </c>
      <c r="K4" t="s">
        <v>54</v>
      </c>
      <c r="L4" t="s">
        <v>49</v>
      </c>
      <c r="M4" t="s">
        <v>55</v>
      </c>
      <c r="N4" s="4" t="s">
        <v>42</v>
      </c>
      <c r="O4" t="s">
        <v>56</v>
      </c>
      <c r="P4" t="s">
        <v>25</v>
      </c>
    </row>
    <row r="5" spans="1:21">
      <c r="A5">
        <v>4</v>
      </c>
      <c r="B5" t="s">
        <v>27</v>
      </c>
      <c r="D5" t="s">
        <v>28</v>
      </c>
      <c r="F5" t="s">
        <v>29</v>
      </c>
      <c r="H5" s="2" t="s">
        <v>30</v>
      </c>
    </row>
    <row r="6" spans="1:21">
      <c r="A6">
        <v>5</v>
      </c>
      <c r="B6" s="2" t="s">
        <v>31</v>
      </c>
      <c r="C6" s="2"/>
      <c r="D6" t="s">
        <v>33</v>
      </c>
      <c r="F6" t="s">
        <v>32</v>
      </c>
      <c r="H6" t="s">
        <v>34</v>
      </c>
      <c r="I6" t="s">
        <v>25</v>
      </c>
    </row>
    <row r="7" spans="1:21">
      <c r="B7" t="s">
        <v>35</v>
      </c>
      <c r="D7" t="s">
        <v>85</v>
      </c>
      <c r="E7" s="3" t="s">
        <v>37</v>
      </c>
      <c r="F7" t="s">
        <v>44</v>
      </c>
      <c r="G7" t="s">
        <v>42</v>
      </c>
      <c r="H7" t="s">
        <v>43</v>
      </c>
      <c r="I7" t="s">
        <v>25</v>
      </c>
    </row>
    <row r="8" spans="1:21">
      <c r="A8">
        <v>7</v>
      </c>
    </row>
    <row r="9" spans="1:21">
      <c r="A9">
        <v>8</v>
      </c>
      <c r="B9" t="s">
        <v>58</v>
      </c>
      <c r="D9" t="s">
        <v>59</v>
      </c>
      <c r="F9" t="s">
        <v>60</v>
      </c>
      <c r="H9" t="s">
        <v>25</v>
      </c>
    </row>
    <row r="10" spans="1:21">
      <c r="A10">
        <v>9</v>
      </c>
      <c r="B10" t="s">
        <v>58</v>
      </c>
      <c r="D10" t="s">
        <v>86</v>
      </c>
      <c r="F10" t="s">
        <v>87</v>
      </c>
      <c r="H10" t="s">
        <v>25</v>
      </c>
    </row>
    <row r="11" spans="1:21">
      <c r="A11">
        <v>10</v>
      </c>
    </row>
    <row r="12" spans="1:21">
      <c r="A12">
        <v>11</v>
      </c>
    </row>
    <row r="13" spans="1:21">
      <c r="A13">
        <v>12</v>
      </c>
      <c r="B13" t="s">
        <v>88</v>
      </c>
      <c r="D13" t="s">
        <v>89</v>
      </c>
      <c r="F13" t="s">
        <v>25</v>
      </c>
    </row>
    <row r="14" spans="1:21">
      <c r="A14">
        <v>13</v>
      </c>
      <c r="B14" t="s">
        <v>90</v>
      </c>
      <c r="D14" t="s">
        <v>59</v>
      </c>
      <c r="F14" t="s">
        <v>25</v>
      </c>
      <c r="M14" s="7"/>
    </row>
    <row r="15" spans="1:21">
      <c r="B15" t="s">
        <v>91</v>
      </c>
      <c r="D15" t="s">
        <v>92</v>
      </c>
      <c r="F15" t="s">
        <v>59</v>
      </c>
      <c r="H15" t="s">
        <v>82</v>
      </c>
      <c r="I15" t="s">
        <v>83</v>
      </c>
      <c r="K15" t="s">
        <v>93</v>
      </c>
      <c r="M15" t="s">
        <v>94</v>
      </c>
      <c r="O15" t="s">
        <v>25</v>
      </c>
    </row>
    <row r="18" spans="2:13">
      <c r="B18" t="s">
        <v>80</v>
      </c>
      <c r="D18" t="s">
        <v>81</v>
      </c>
      <c r="F18" t="s">
        <v>25</v>
      </c>
    </row>
    <row r="19" spans="2:13">
      <c r="B19" t="s">
        <v>95</v>
      </c>
      <c r="D19" t="s">
        <v>58</v>
      </c>
      <c r="F19" t="s">
        <v>59</v>
      </c>
      <c r="H19" t="s">
        <v>25</v>
      </c>
    </row>
    <row r="22" spans="2:13">
      <c r="B22" t="s">
        <v>96</v>
      </c>
      <c r="C22" t="s">
        <v>97</v>
      </c>
      <c r="D22" t="s">
        <v>98</v>
      </c>
      <c r="E22" t="s">
        <v>99</v>
      </c>
      <c r="F22" t="s">
        <v>25</v>
      </c>
      <c r="M22" s="8"/>
    </row>
    <row r="23" spans="2:13">
      <c r="B23" t="s">
        <v>100</v>
      </c>
      <c r="C23" t="s">
        <v>101</v>
      </c>
      <c r="D23" t="s">
        <v>25</v>
      </c>
    </row>
    <row r="24" spans="2:13">
      <c r="B24" t="s">
        <v>102</v>
      </c>
      <c r="C24" t="s">
        <v>103</v>
      </c>
      <c r="D24" t="s">
        <v>104</v>
      </c>
      <c r="F24" t="s">
        <v>25</v>
      </c>
    </row>
    <row r="25" spans="2:13">
      <c r="B25" t="s">
        <v>105</v>
      </c>
      <c r="D25" t="s">
        <v>25</v>
      </c>
    </row>
    <row r="27" spans="2:13">
      <c r="B27" t="s">
        <v>106</v>
      </c>
      <c r="C27" t="s">
        <v>107</v>
      </c>
      <c r="D27" t="s">
        <v>108</v>
      </c>
      <c r="F27" t="s">
        <v>25</v>
      </c>
    </row>
    <row r="28" spans="2:13">
      <c r="B28" t="s">
        <v>109</v>
      </c>
      <c r="C28" t="s">
        <v>110</v>
      </c>
      <c r="D28" t="s">
        <v>25</v>
      </c>
    </row>
    <row r="29" spans="2:13">
      <c r="D29" s="9"/>
    </row>
    <row r="31" spans="2:13">
      <c r="B31" t="s">
        <v>111</v>
      </c>
      <c r="C31" t="s">
        <v>107</v>
      </c>
      <c r="D31" t="s">
        <v>112</v>
      </c>
      <c r="F31" t="s">
        <v>25</v>
      </c>
    </row>
    <row r="32" spans="2:13">
      <c r="B32" t="s">
        <v>113</v>
      </c>
      <c r="D32" t="s">
        <v>25</v>
      </c>
    </row>
    <row r="36" spans="2:6">
      <c r="B36" t="s">
        <v>114</v>
      </c>
      <c r="C36" t="s">
        <v>115</v>
      </c>
      <c r="D36" t="s">
        <v>116</v>
      </c>
      <c r="F36" t="s">
        <v>25</v>
      </c>
    </row>
    <row r="37" spans="2:6">
      <c r="B37" t="s">
        <v>117</v>
      </c>
      <c r="C37" t="s">
        <v>118</v>
      </c>
      <c r="D37" t="s">
        <v>25</v>
      </c>
    </row>
    <row r="39" spans="2:6">
      <c r="B39" t="s">
        <v>119</v>
      </c>
      <c r="C39" t="s">
        <v>120</v>
      </c>
      <c r="D39" t="s">
        <v>121</v>
      </c>
      <c r="F39" t="s">
        <v>25</v>
      </c>
    </row>
    <row r="40" spans="2:6">
      <c r="B40" t="s">
        <v>122</v>
      </c>
      <c r="D4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FBC90-847B-43C2-8661-16DEE16B53D1}">
  <sheetPr codeName="Sheet2"/>
  <dimension ref="A1:D2"/>
  <sheetViews>
    <sheetView workbookViewId="0">
      <selection activeCell="D2" sqref="D2"/>
    </sheetView>
  </sheetViews>
  <sheetFormatPr defaultColWidth="15.15625" defaultRowHeight="14.4"/>
  <cols>
    <col min="1" max="1" width="33.578125" bestFit="1" customWidth="1"/>
    <col min="2" max="2" width="40.26171875" bestFit="1" customWidth="1"/>
  </cols>
  <sheetData>
    <row r="1" spans="1:4">
      <c r="A1" t="s">
        <v>14</v>
      </c>
      <c r="B1" t="s">
        <v>15</v>
      </c>
      <c r="C1" t="s">
        <v>18</v>
      </c>
      <c r="D1" t="s">
        <v>19</v>
      </c>
    </row>
    <row r="2" spans="1:4">
      <c r="A2" s="1" t="s">
        <v>16</v>
      </c>
      <c r="B2" s="1" t="s">
        <v>17</v>
      </c>
      <c r="C2" t="s">
        <v>20</v>
      </c>
      <c r="D2" t="s">
        <v>21</v>
      </c>
    </row>
  </sheetData>
  <hyperlinks>
    <hyperlink ref="A2" r:id="rId1" xr:uid="{D5B773DB-E485-4301-8397-470B19416CAB}"/>
    <hyperlink ref="B2" r:id="rId2" xr:uid="{40EFEF7C-3242-46EE-963F-EFDE126D828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E9EF-DC29-4FD9-A77B-4556B8D73B89}">
  <sheetPr codeName="Sheet3"/>
  <dimension ref="A1"/>
  <sheetViews>
    <sheetView workbookViewId="0">
      <selection activeCell="M1" sqref="M1"/>
    </sheetView>
  </sheetViews>
  <sheetFormatPr defaultRowHeight="14.4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TestLogic</vt:lpstr>
      <vt:lpstr>old</vt:lpstr>
      <vt:lpstr>Matt</vt:lpstr>
      <vt:lpstr>Config</vt:lpstr>
      <vt:lpstr>Data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Lavelle, Matthew (MPBSDP)</dc:creator>
  <cp:lastModifiedBy>Lavelle, Matthew (MPBSDP)</cp:lastModifiedBy>
  <dcterms:created xsi:type="dcterms:W3CDTF">2025-09-18T11:44:19Z</dcterms:created>
  <dcterms:modified xsi:type="dcterms:W3CDTF">2026-01-30T13:26:42Z</dcterms:modified>
</cp:coreProperties>
</file>